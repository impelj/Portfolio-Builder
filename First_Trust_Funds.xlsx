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mpellizeri/Desktop/Aspire/"/>
    </mc:Choice>
  </mc:AlternateContent>
  <xr:revisionPtr revIDLastSave="0" documentId="8_{87EEBBAB-AAA1-B647-8B5E-5882F0108EBD}" xr6:coauthVersionLast="47" xr6:coauthVersionMax="47" xr10:uidLastSave="{00000000-0000-0000-0000-000000000000}"/>
  <bookViews>
    <workbookView xWindow="0" yWindow="660" windowWidth="34560" windowHeight="20000" xr2:uid="{23582A78-FB1B-6D4D-94E6-E65E4E45E0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19" i="1" l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Joseph Impellizeri</author>
  </authors>
  <commentList>
    <comment ref="A2" authorId="0" shapeId="0" xr:uid="{32018ACD-5BFD-BE47-97FA-EFE12547AF8A}">
      <text>
        <r>
          <rPr>
            <b/>
            <sz val="10"/>
            <color rgb="FF000000"/>
            <rFont val="Tahoma"/>
            <family val="2"/>
          </rPr>
          <t>Joseph Impellizeri:</t>
        </r>
        <r>
          <rPr>
            <sz val="10"/>
            <color rgb="FF000000"/>
            <rFont val="Tahoma"/>
            <family val="2"/>
          </rPr>
          <t xml:space="preserve">
Source: Charles Schwab ETF report (Morningstar-sourced standardized returns) and Robinhood/Seeking Alpha for category and expense ratio. Fund inception Oct 19, 2022 — too young for a 5-yr return; 3-yr not confirmed from a reliable source, left blank.</t>
        </r>
      </text>
    </comment>
    <comment ref="L2" authorId="0" shapeId="0" xr:uid="{F3F6B0FE-A6BE-BC48-A1CE-FB5EB2BBC65A}">
      <text>
        <r>
          <rPr>
            <b/>
            <sz val="10"/>
            <color rgb="FF000000"/>
            <rFont val="Tahoma"/>
            <family val="2"/>
          </rPr>
          <t>Joseph Impellizeri: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Source: First Trust Portfolios (official), 3-Year Statistics table (as of 5/29/2026), https://www.ftportfolios.com/Retail/Etf/EtfSummary.aspx?Ticker=RDVI</t>
        </r>
      </text>
    </comment>
    <comment ref="A3" authorId="0" shapeId="0" xr:uid="{DC87B258-1CBF-D74D-BC42-76EC496AFCFC}">
      <text>
        <r>
          <rPr>
            <b/>
            <sz val="10"/>
            <color rgb="FF000000"/>
            <rFont val="Tahoma"/>
            <family val="2"/>
          </rPr>
          <t>Joseph Impellizeri:</t>
        </r>
        <r>
          <rPr>
            <sz val="10"/>
            <color rgb="FF000000"/>
            <rFont val="Tahoma"/>
            <family val="2"/>
          </rPr>
          <t xml:space="preserve">
Source: Dividend.com / MutualFunds.com fund profile pages (secondary aggregators; First Trust's own site was not reliably accessible for this ticker).</t>
        </r>
      </text>
    </comment>
    <comment ref="L3" authorId="0" shapeId="0" xr:uid="{61E311C4-5ECC-BF45-B9BA-2CAEE777346C}">
      <text>
        <r>
          <rPr>
            <b/>
            <sz val="10"/>
            <color rgb="FF000000"/>
            <rFont val="Tahoma"/>
            <family val="2"/>
          </rPr>
          <t>Joseph Impellizeri:</t>
        </r>
        <r>
          <rPr>
            <sz val="10"/>
            <color rgb="FF000000"/>
            <rFont val="Tahoma"/>
            <family val="2"/>
          </rPr>
          <t xml:space="preserve">
Source: First Trust Portfolios (official), 3-Year Statistics table (as of 6/30/2026), https://www.ftportfolios.com/retail/etf/etfsummary.aspx?Ticker=LMBS</t>
        </r>
      </text>
    </comment>
    <comment ref="A4" authorId="0" shapeId="0" xr:uid="{052135DA-BC9B-4C43-825E-23D10EB3FEBC}">
      <text>
        <r>
          <rPr>
            <b/>
            <sz val="10"/>
            <color rgb="FF000000"/>
            <rFont val="Tahoma"/>
            <family val="2"/>
          </rPr>
          <t>Joseph Impellizeri:</t>
        </r>
        <r>
          <rPr>
            <sz val="10"/>
            <color rgb="FF000000"/>
            <rFont val="Tahoma"/>
            <family val="2"/>
          </rPr>
          <t xml:space="preserve">
Source: First Trust Portfolios (official), https://www.ftportfolios.com/retail/etf/etfsummary.aspx?Ticker=FYC</t>
        </r>
      </text>
    </comment>
    <comment ref="L4" authorId="0" shapeId="0" xr:uid="{4E05F936-9B9F-564A-9491-63F5BE2C51E6}">
      <text>
        <r>
          <rPr>
            <b/>
            <sz val="10"/>
            <color rgb="FF000000"/>
            <rFont val="Tahoma"/>
            <family val="2"/>
          </rPr>
          <t>Joseph Impellizeri: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Source: First Trust Portfolios (official), 3-Year Statistics table (as of 6/30/2026), https://www.ftportfolios.com/retail/etf/etfsummary.aspx?Ticker=FYC</t>
        </r>
      </text>
    </comment>
    <comment ref="A5" authorId="0" shapeId="0" xr:uid="{D98CC13C-EB6D-DF45-9B02-998B25E667C6}">
      <text>
        <r>
          <rPr>
            <b/>
            <sz val="10"/>
            <color rgb="FF000000"/>
            <rFont val="Tahoma"/>
            <family val="2"/>
          </rPr>
          <t>Joseph Impellizeri:</t>
        </r>
        <r>
          <rPr>
            <sz val="10"/>
            <color rgb="FF000000"/>
            <rFont val="Tahoma"/>
            <family val="2"/>
          </rPr>
          <t xml:space="preserve">
Source: First Trust Portfolios (official), https://www.ftportfolios.com/retail/etf/etfsummary.aspx?Ticker=FTXL</t>
        </r>
      </text>
    </comment>
    <comment ref="L5" authorId="0" shapeId="0" xr:uid="{FAE84501-31C7-C046-90BD-1F8D6CF72058}">
      <text>
        <r>
          <rPr>
            <b/>
            <sz val="10"/>
            <color rgb="FF000000"/>
            <rFont val="Tahoma"/>
            <family val="2"/>
          </rPr>
          <t>Joseph Impellizeri:</t>
        </r>
        <r>
          <rPr>
            <sz val="10"/>
            <color rgb="FF000000"/>
            <rFont val="Tahoma"/>
            <family val="2"/>
          </rPr>
          <t xml:space="preserve">
Source: First Trust Portfolios (official), 3-Year Statistics table (as of 6/30/2026), https://www.ftportfolios.com/retail/etf/etfsummary.aspx?Ticker=FTXL</t>
        </r>
      </text>
    </comment>
    <comment ref="A6" authorId="0" shapeId="0" xr:uid="{95C2205F-3888-E446-9C84-FFC07A0F2900}">
      <text>
        <r>
          <rPr>
            <b/>
            <sz val="10"/>
            <color rgb="FF000000"/>
            <rFont val="Tahoma"/>
            <family val="2"/>
          </rPr>
          <t>Joseph Impellizeri: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Source: First Trust Portfolios (official), https://www.ftportfolios.com/retail/etf/etfsummary.aspx?Ticker=FTSM</t>
        </r>
      </text>
    </comment>
    <comment ref="L6" authorId="0" shapeId="0" xr:uid="{9539B959-751D-2449-AD1C-1F5F2EB082B0}">
      <text>
        <r>
          <rPr>
            <b/>
            <sz val="10"/>
            <color rgb="FF000000"/>
            <rFont val="Tahoma"/>
            <family val="2"/>
          </rPr>
          <t>Joseph Impellizeri: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Source: First Trust Portfolios (official), 3-Year Statistics table (as of 5/29/2026), https://www.ftportfolios.com/retail/etf/etfsummary.aspx?Ticker=FTSM</t>
        </r>
      </text>
    </comment>
    <comment ref="A7" authorId="0" shapeId="0" xr:uid="{8411F55C-DAB5-C74D-8534-61C91EBC089F}">
      <text>
        <r>
          <rPr>
            <b/>
            <sz val="10"/>
            <color rgb="FF000000"/>
            <rFont val="Tahoma"/>
            <family val="2"/>
          </rPr>
          <t>Joseph Impellizeri: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Source: MutualFunds.com fund profile page (secondary aggregator; First Trust's own site was not reliably accessible for this ticker).</t>
        </r>
      </text>
    </comment>
    <comment ref="L7" authorId="0" shapeId="0" xr:uid="{4316D16A-CD64-114B-B18C-DCFA2D8C6499}">
      <text>
        <r>
          <rPr>
            <b/>
            <sz val="10"/>
            <color rgb="FF000000"/>
            <rFont val="Tahoma"/>
            <family val="2"/>
          </rPr>
          <t>Joseph Impellizeri:</t>
        </r>
        <r>
          <rPr>
            <sz val="10"/>
            <color rgb="FF000000"/>
            <rFont val="Tahoma"/>
            <family val="2"/>
          </rPr>
          <t xml:space="preserve">
Source: First Trust Portfolios (official), 3-Year Statistics table (as of 6/30/2026), https://www.ftportfolios.com/retail/etf/etfsummary.aspx?Ticker=FTSL</t>
        </r>
      </text>
    </comment>
    <comment ref="A8" authorId="0" shapeId="0" xr:uid="{0ADB003F-7DEF-AF40-A24F-334288E46C5F}">
      <text>
        <r>
          <rPr>
            <b/>
            <sz val="10"/>
            <color rgb="FF000000"/>
            <rFont val="Tahoma"/>
            <family val="2"/>
          </rPr>
          <t>Joseph Impellizeri:</t>
        </r>
        <r>
          <rPr>
            <sz val="10"/>
            <color rgb="FF000000"/>
            <rFont val="Tahoma"/>
            <family val="2"/>
          </rPr>
          <t xml:space="preserve">
Source: First Trust Portfolios (official), https://www.ftportfolios.com/Retail/Etf/EtfSummary.aspx?Ticker=FTQI</t>
        </r>
      </text>
    </comment>
    <comment ref="L8" authorId="0" shapeId="0" xr:uid="{C0F2DFEF-922D-EE4D-8303-7504C60DF806}">
      <text>
        <r>
          <rPr>
            <b/>
            <sz val="10"/>
            <color rgb="FF000000"/>
            <rFont val="Tahoma"/>
            <family val="2"/>
          </rPr>
          <t>Joseph Impellizeri:</t>
        </r>
        <r>
          <rPr>
            <sz val="10"/>
            <color rgb="FF000000"/>
            <rFont val="Tahoma"/>
            <family val="2"/>
          </rPr>
          <t xml:space="preserve">
Source: First Trust Portfolios (official), 3-Year Statistics table (as of 6/30/2026), https://www.ftportfolios.com/Retail/Etf/EtfSummary.aspx?Ticker=FTQI</t>
        </r>
      </text>
    </comment>
    <comment ref="A9" authorId="0" shapeId="0" xr:uid="{2CA7A19D-A492-2949-A4F3-88D71551B400}">
      <text>
        <r>
          <rPr>
            <b/>
            <sz val="10"/>
            <color rgb="FF000000"/>
            <rFont val="Tahoma"/>
            <family val="2"/>
          </rPr>
          <t>Joseph Impellizeri:</t>
        </r>
        <r>
          <rPr>
            <sz val="10"/>
            <color rgb="FF000000"/>
            <rFont val="Tahoma"/>
            <family val="2"/>
          </rPr>
          <t xml:space="preserve">
Source: First Trust Portfolios (official), https://www.ftportfolios.com/retail/etf/etfsummary.aspx?Ticker=FTC. Category per Yahoo Finance/Morningstar.</t>
        </r>
      </text>
    </comment>
    <comment ref="L9" authorId="0" shapeId="0" xr:uid="{8E7083AB-B16D-E24F-A8B8-E9D891AE0921}">
      <text>
        <r>
          <rPr>
            <b/>
            <sz val="10"/>
            <color rgb="FF000000"/>
            <rFont val="Tahoma"/>
            <family val="2"/>
          </rPr>
          <t>Joseph Impellizeri:</t>
        </r>
        <r>
          <rPr>
            <sz val="10"/>
            <color rgb="FF000000"/>
            <rFont val="Tahoma"/>
            <family val="2"/>
          </rPr>
          <t xml:space="preserve">
Source: First Trust Portfolios (official), 3-Year Statistics table (as of 6/30/2026), https://www.ftportfolios.com/retail/ETF/ETFsummary.aspx?Ticker=FTC</t>
        </r>
      </text>
    </comment>
    <comment ref="A10" authorId="0" shapeId="0" xr:uid="{DDBBA766-34C9-7F48-B824-1D95A2B0312D}">
      <text>
        <r>
          <rPr>
            <b/>
            <sz val="10"/>
            <color rgb="FF000000"/>
            <rFont val="Tahoma"/>
            <family val="2"/>
          </rPr>
          <t>Joseph Impellizeri:</t>
        </r>
        <r>
          <rPr>
            <sz val="10"/>
            <color rgb="FF000000"/>
            <rFont val="Tahoma"/>
            <family val="2"/>
          </rPr>
          <t xml:space="preserve">
Source: First Trust Portfolios (official), https://www.ftportfolios.com/retail/etf/etfsummary.aspx?Ticker=FPXI</t>
        </r>
      </text>
    </comment>
    <comment ref="L10" authorId="0" shapeId="0" xr:uid="{EB7288A3-922A-E446-8468-F8E33F60DB09}">
      <text>
        <r>
          <rPr>
            <b/>
            <sz val="10"/>
            <color rgb="FF000000"/>
            <rFont val="Tahoma"/>
            <family val="2"/>
          </rPr>
          <t>Joseph Impellizeri:</t>
        </r>
        <r>
          <rPr>
            <sz val="10"/>
            <color rgb="FF000000"/>
            <rFont val="Tahoma"/>
            <family val="2"/>
          </rPr>
          <t xml:space="preserve">
Source: First Trust Portfolios (official), 3-Year Statistics table (as of 5/29/2026), https://www.ftportfolios.com/Retail/Etf/EtfSummary.aspx?Ticker=FPXI</t>
        </r>
      </text>
    </comment>
    <comment ref="A11" authorId="0" shapeId="0" xr:uid="{63AB28F0-B85F-BB4D-89DC-2C862F1B083F}">
      <text>
        <r>
          <rPr>
            <b/>
            <sz val="10"/>
            <color rgb="FF000000"/>
            <rFont val="Tahoma"/>
            <family val="2"/>
          </rPr>
          <t>Joseph Impellizeri: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Source: Yahoo Finance (Morningstar-sourced) performance page, https://finance.yahoo.com/quote/FPX/performance/</t>
        </r>
      </text>
    </comment>
    <comment ref="L11" authorId="0" shapeId="0" xr:uid="{2DA70633-6FBD-6A45-BBE0-90988326ABF0}">
      <text>
        <r>
          <rPr>
            <b/>
            <sz val="10"/>
            <color rgb="FF000000"/>
            <rFont val="Tahoma"/>
            <family val="2"/>
          </rPr>
          <t>Joseph Impellizeri:</t>
        </r>
        <r>
          <rPr>
            <sz val="10"/>
            <color rgb="FF000000"/>
            <rFont val="Tahoma"/>
            <family val="2"/>
          </rPr>
          <t xml:space="preserve">
Source: First Trust Portfolios (official), 3-Year Statistics table (as of 6/30/2026), https://www.ftportfolios.com/retail/etf/etfsummary.aspx?Ticker=FPX</t>
        </r>
      </text>
    </comment>
    <comment ref="A12" authorId="0" shapeId="0" xr:uid="{F10FA9A8-79E8-AC47-AA16-B9656E8B97A9}">
      <text>
        <r>
          <rPr>
            <b/>
            <sz val="10"/>
            <color rgb="FF000000"/>
            <rFont val="Tahoma"/>
            <family val="2"/>
          </rPr>
          <t>Joseph Impellizeri:</t>
        </r>
        <r>
          <rPr>
            <sz val="10"/>
            <color rgb="FF000000"/>
            <rFont val="Tahoma"/>
            <family val="2"/>
          </rPr>
          <t xml:space="preserve">
Source: First Trust Portfolios (official), https://www.ftportfolios.com/retail/etf/etfsummary.aspx?Ticker=FICS</t>
        </r>
      </text>
    </comment>
    <comment ref="L12" authorId="0" shapeId="0" xr:uid="{CBA8AC3E-7902-C14C-996C-CD909CB66302}">
      <text>
        <r>
          <rPr>
            <b/>
            <sz val="10"/>
            <color rgb="FF000000"/>
            <rFont val="Tahoma"/>
            <family val="2"/>
          </rPr>
          <t>Joseph Impellizeri:</t>
        </r>
        <r>
          <rPr>
            <sz val="10"/>
            <color rgb="FF000000"/>
            <rFont val="Tahoma"/>
            <family val="2"/>
          </rPr>
          <t xml:space="preserve">
Source: First Trust Portfolios (official), 3-Year Statistics table (as of 6/30/2026), https://www.ftportfolios.com/Retail/Etf/EtfSummary.aspx?Ticker=FICS</t>
        </r>
      </text>
    </comment>
    <comment ref="A13" authorId="0" shapeId="0" xr:uid="{A4E021FB-2593-8C4A-87A0-F1A8DB5CE8ED}">
      <text>
        <r>
          <rPr>
            <b/>
            <sz val="10"/>
            <color rgb="FF000000"/>
            <rFont val="Tahoma"/>
            <family val="2"/>
          </rPr>
          <t>Joseph Impellizeri:</t>
        </r>
        <r>
          <rPr>
            <sz val="10"/>
            <color rgb="FF000000"/>
            <rFont val="Tahoma"/>
            <family val="2"/>
          </rPr>
          <t xml:space="preserve">
Source: First Trust Portfolios (official), https://www.ftportfolios.com/retail/etf/etfsummary.aspx?Ticker=FEX. Category per stockanalysis.com/Robinhood.</t>
        </r>
      </text>
    </comment>
    <comment ref="L13" authorId="0" shapeId="0" xr:uid="{C9D87A19-0AAF-5B42-9D99-606BD14812DB}">
      <text>
        <r>
          <rPr>
            <b/>
            <sz val="10"/>
            <color rgb="FF000000"/>
            <rFont val="Tahoma"/>
            <family val="2"/>
          </rPr>
          <t>Joseph Impellizeri:</t>
        </r>
        <r>
          <rPr>
            <sz val="10"/>
            <color rgb="FF000000"/>
            <rFont val="Tahoma"/>
            <family val="2"/>
          </rPr>
          <t xml:space="preserve">
Source: First Trust Portfolios (official), 3-Year Statistics table (as of 6/30/2026), https://www.ftportfolios.com/retail/etf/etfsummary.aspx?Ticker=FEX</t>
        </r>
      </text>
    </comment>
    <comment ref="A14" authorId="0" shapeId="0" xr:uid="{0DD98473-CD6C-5C4B-AD55-870698622279}">
      <text>
        <r>
          <rPr>
            <b/>
            <sz val="10"/>
            <color rgb="FF000000"/>
            <rFont val="Tahoma"/>
            <family val="2"/>
          </rPr>
          <t>Joseph Impellizeri:</t>
        </r>
        <r>
          <rPr>
            <sz val="10"/>
            <color rgb="FF000000"/>
            <rFont val="Tahoma"/>
            <family val="2"/>
          </rPr>
          <t xml:space="preserve">
Source: First Trust Portfolios (official), https://www.ftportfolios.com/retail/etf/etfsummary.aspx?Ticker=FEUZ. Category per Robinhood/US News.</t>
        </r>
      </text>
    </comment>
    <comment ref="L14" authorId="0" shapeId="0" xr:uid="{65FCDFDD-1AF1-ED45-BEBB-149A6D6947AE}">
      <text>
        <r>
          <rPr>
            <b/>
            <sz val="10"/>
            <color rgb="FF000000"/>
            <rFont val="Tahoma"/>
            <family val="2"/>
          </rPr>
          <t>Joseph Impellizeri:</t>
        </r>
        <r>
          <rPr>
            <sz val="10"/>
            <color rgb="FF000000"/>
            <rFont val="Tahoma"/>
            <family val="2"/>
          </rPr>
          <t xml:space="preserve">
Source: First Trust Portfolios (official), 3-Year Statistics table (as of 6/30/2026), https://www.ftportfolios.com/retail/etf/etfsummary.aspx?Ticker=FEUZ</t>
        </r>
      </text>
    </comment>
    <comment ref="A15" authorId="0" shapeId="0" xr:uid="{BEACEF4F-7BCA-4D44-94A4-251B57EA1CC2}">
      <text>
        <r>
          <rPr>
            <b/>
            <sz val="10"/>
            <color rgb="FF000000"/>
            <rFont val="Tahoma"/>
            <family val="2"/>
          </rPr>
          <t>Joseph Impellizeri:</t>
        </r>
        <r>
          <rPr>
            <sz val="10"/>
            <color rgb="FF000000"/>
            <rFont val="Tahoma"/>
            <family val="2"/>
          </rPr>
          <t xml:space="preserve">
Source: Expense ratio/category via Yahoo Finance &amp; Charles Schwab ETF report (Morningstar-sourced). 3-yr return not confirmed from an official source; left blank.</t>
        </r>
      </text>
    </comment>
    <comment ref="L15" authorId="0" shapeId="0" xr:uid="{CDE1EC79-C859-2B47-B906-23DA977927EC}">
      <text>
        <r>
          <rPr>
            <b/>
            <sz val="10"/>
            <color rgb="FF000000"/>
            <rFont val="Tahoma"/>
            <family val="2"/>
          </rPr>
          <t>Joseph Impellizeri:</t>
        </r>
        <r>
          <rPr>
            <sz val="10"/>
            <color rgb="FF000000"/>
            <rFont val="Tahoma"/>
            <family val="2"/>
          </rPr>
          <t xml:space="preserve">
Source: First Trust Portfolios (official), 3-Year Statistics table (as of 5/29/2026), https://www.ftportfolios.com/retail/etf/etfsummary.aspx?Ticker=FDT</t>
        </r>
      </text>
    </comment>
    <comment ref="A16" authorId="0" shapeId="0" xr:uid="{4478C850-8B2C-394C-A687-C853880E29DF}">
      <text>
        <r>
          <rPr>
            <b/>
            <sz val="10"/>
            <color rgb="FF000000"/>
            <rFont val="Tahoma"/>
            <family val="2"/>
          </rPr>
          <t>Joseph Impellizeri: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Source: Yahoo Finance (Morningstar-sourced) performance page and MarketBeat.</t>
        </r>
      </text>
    </comment>
    <comment ref="L16" authorId="0" shapeId="0" xr:uid="{DA82F0E8-3B00-5047-97DF-B311BDE412E5}">
      <text>
        <r>
          <rPr>
            <b/>
            <sz val="10"/>
            <color rgb="FF000000"/>
            <rFont val="Tahoma"/>
            <family val="2"/>
          </rPr>
          <t>Joseph Impellizeri:</t>
        </r>
        <r>
          <rPr>
            <sz val="10"/>
            <color rgb="FF000000"/>
            <rFont val="Tahoma"/>
            <family val="2"/>
          </rPr>
          <t xml:space="preserve">
Source: First Trust Portfolios (official), 3-Year Statistics table (as of 6/30/2026), https://www.ftportfolios.com/Retail/Etf/EtfSummary.aspx?Ticker=DVLU</t>
        </r>
      </text>
    </comment>
    <comment ref="A17" authorId="0" shapeId="0" xr:uid="{5590841C-E56B-4549-8FB4-3FD98D8D1621}">
      <text>
        <r>
          <rPr>
            <b/>
            <sz val="10"/>
            <color rgb="FF000000"/>
            <rFont val="Tahoma"/>
            <family val="2"/>
          </rPr>
          <t>Joseph Impellizeri:</t>
        </r>
        <r>
          <rPr>
            <sz val="10"/>
            <color rgb="FF000000"/>
            <rFont val="Tahoma"/>
            <family val="2"/>
          </rPr>
          <t xml:space="preserve">
Source: Yahoo Finance (Morningstar-sourced), https://finance.yahoo.com/quote/AIRR/. Note: other secondary sources (PortfoliosLab) showed a materially different 1-yr figure (~82%); Yahoo/Morningstar figure used as primary.</t>
        </r>
      </text>
    </comment>
    <comment ref="L17" authorId="0" shapeId="0" xr:uid="{195BA97D-0466-DE46-9633-4C3E68FBFECF}">
      <text>
        <r>
          <rPr>
            <b/>
            <sz val="10"/>
            <color rgb="FF000000"/>
            <rFont val="Tahoma"/>
            <family val="2"/>
          </rPr>
          <t>Joseph Impellizeri:</t>
        </r>
        <r>
          <rPr>
            <sz val="10"/>
            <color rgb="FF000000"/>
            <rFont val="Tahoma"/>
            <family val="2"/>
          </rPr>
          <t xml:space="preserve">
Source: First Trust Portfolios (official), 3-Year Statistics table (as of 6/30/2026), https://www.ftportfolios.com/retail/etf/etfsummary.aspx?Ticker=AIRR</t>
        </r>
      </text>
    </comment>
    <comment ref="A18" authorId="0" shapeId="0" xr:uid="{B0CCE4D0-5D60-614D-93DC-F867E9F2828C}">
      <text>
        <r>
          <rPr>
            <b/>
            <sz val="10"/>
            <color rgb="FF000000"/>
            <rFont val="Tahoma"/>
            <family val="2"/>
          </rPr>
          <t>Joseph Impellizeri:</t>
        </r>
        <r>
          <rPr>
            <sz val="10"/>
            <color rgb="FF000000"/>
            <rFont val="Tahoma"/>
            <family val="2"/>
          </rPr>
          <t xml:space="preserve">
Source: First Trust Portfolios (official), https://www.ftportfolios.com/Retail/Etf/EtfSummary.aspx?Ticker=AFMC</t>
        </r>
      </text>
    </comment>
    <comment ref="L18" authorId="0" shapeId="0" xr:uid="{9697B14F-9660-DF4B-91A3-2870D729F0FC}">
      <text>
        <r>
          <rPr>
            <b/>
            <sz val="10"/>
            <color rgb="FF000000"/>
            <rFont val="Tahoma"/>
            <family val="2"/>
          </rPr>
          <t>Joseph Impellizeri:</t>
        </r>
        <r>
          <rPr>
            <sz val="10"/>
            <color rgb="FF000000"/>
            <rFont val="Tahoma"/>
            <family val="2"/>
          </rPr>
          <t xml:space="preserve">
Source: First Trust Portfolios (official), 3-Year Statistics table (as of 5/29/2026), https://www.ftportfolios.com/Retail/Etf/EtfSummary.aspx?Ticker=AFMC</t>
        </r>
      </text>
    </comment>
    <comment ref="A19" authorId="0" shapeId="0" xr:uid="{896D3C15-F2A6-D34A-A92D-54D6F989AED3}">
      <text>
        <r>
          <rPr>
            <b/>
            <sz val="10"/>
            <color rgb="FF000000"/>
            <rFont val="Tahoma"/>
            <family val="2"/>
          </rPr>
          <t>Joseph Impellizeri:</t>
        </r>
        <r>
          <rPr>
            <sz val="10"/>
            <color rgb="FF000000"/>
            <rFont val="Tahoma"/>
            <family val="2"/>
          </rPr>
          <t xml:space="preserve">
Source: First Trust Portfolios (official), https://www.ftportfolios.com/retail/etf/etfsummary.aspx?Ticker=AFLG</t>
        </r>
      </text>
    </comment>
    <comment ref="L19" authorId="0" shapeId="0" xr:uid="{B700A3B1-0F47-EF48-ABCA-1D7371EE9E07}">
      <text>
        <r>
          <rPr>
            <b/>
            <sz val="10"/>
            <color rgb="FF000000"/>
            <rFont val="Tahoma"/>
            <family val="2"/>
          </rPr>
          <t>Joseph Impellizeri:</t>
        </r>
        <r>
          <rPr>
            <sz val="10"/>
            <color rgb="FF000000"/>
            <rFont val="Tahoma"/>
            <family val="2"/>
          </rPr>
          <t xml:space="preserve">
Source: First Trust Portfolios (official), 3-Year Statistics table (as of 4/30/2026), https://www.ftportfolios.com/retail/etf/etfsummary.aspx?Ticker=AFLG</t>
        </r>
      </text>
    </comment>
  </commentList>
</comments>
</file>

<file path=xl/sharedStrings.xml><?xml version="1.0" encoding="utf-8"?>
<sst xmlns="http://schemas.openxmlformats.org/spreadsheetml/2006/main" count="67" uniqueCount="64">
  <si>
    <t>name</t>
  </si>
  <si>
    <t>ticker</t>
  </si>
  <si>
    <t>objname</t>
  </si>
  <si>
    <t>catname</t>
  </si>
  <si>
    <t>expratio</t>
  </si>
  <si>
    <t>tr1yr</t>
  </si>
  <si>
    <t>tr3yr</t>
  </si>
  <si>
    <t>tr5yr</t>
  </si>
  <si>
    <t>FTC</t>
  </si>
  <si>
    <t>AFLG</t>
  </si>
  <si>
    <t>FEX</t>
  </si>
  <si>
    <t>FYC</t>
  </si>
  <si>
    <t>AFMC</t>
  </si>
  <si>
    <t>FICS</t>
  </si>
  <si>
    <t>FEUZ</t>
  </si>
  <si>
    <t>FPXI</t>
  </si>
  <si>
    <t>FDT</t>
  </si>
  <si>
    <t>FTQI</t>
  </si>
  <si>
    <t>LMBS</t>
  </si>
  <si>
    <t>FTSM</t>
  </si>
  <si>
    <t>FTSL</t>
  </si>
  <si>
    <t>DVLU</t>
  </si>
  <si>
    <t>FPX</t>
  </si>
  <si>
    <t>FTXL</t>
  </si>
  <si>
    <t>AIRR</t>
  </si>
  <si>
    <t>Mid-Cap Value</t>
  </si>
  <si>
    <t>First Trust Large Cap Growth AlphaDEX® Fund</t>
  </si>
  <si>
    <t>First Trust Active Factor Large Cap ETF</t>
  </si>
  <si>
    <t>First Trust Large Cap Core AlphaDEX® Fund</t>
  </si>
  <si>
    <t>First Trust Small Cap Growth AlphaDEX® Fund</t>
  </si>
  <si>
    <t>First Trust Active Factor Mid Cap ETF</t>
  </si>
  <si>
    <t>First Trust International Developed Capital Strength® ETF</t>
  </si>
  <si>
    <t>First Trust Eurozone AlphaDEX® ETF</t>
  </si>
  <si>
    <t>First Trust International Equity Opportunities ETF</t>
  </si>
  <si>
    <t>First Trust Developed Markets ex-US AlphaDEX® Fund</t>
  </si>
  <si>
    <t>First Trust Nasdaq BuyWrite Income ETF</t>
  </si>
  <si>
    <t>First Trust Low Duration Opportunities ETF</t>
  </si>
  <si>
    <t>First Trust Enhanced Short Maturity ETF</t>
  </si>
  <si>
    <t>First Trust Senior Loan Fund</t>
  </si>
  <si>
    <t>First Trust Dorsey Wright Momentum &amp; Value ETF</t>
  </si>
  <si>
    <t>First Trust US Equity Opportunities ETF</t>
  </si>
  <si>
    <t>First Trust Nasdaq Semiconductor ETF</t>
  </si>
  <si>
    <t>First Trust RBA American Industrial Renaissance® ETF</t>
  </si>
  <si>
    <t>Large Growth</t>
  </si>
  <si>
    <t>Large Blend</t>
  </si>
  <si>
    <t>Small Growth</t>
  </si>
  <si>
    <t>Mid-Cap Blend</t>
  </si>
  <si>
    <t>Foreign Large Growth</t>
  </si>
  <si>
    <t>Europe Stock</t>
  </si>
  <si>
    <t>Foreign Large Value</t>
  </si>
  <si>
    <t>Derivative Income</t>
  </si>
  <si>
    <t>Short Government</t>
  </si>
  <si>
    <t>Ultrashort Bond</t>
  </si>
  <si>
    <t>Bank Loan</t>
  </si>
  <si>
    <t>Mid-Cap Growth</t>
  </si>
  <si>
    <t>Technology</t>
  </si>
  <si>
    <t>Industrials</t>
  </si>
  <si>
    <t>RDVI</t>
  </si>
  <si>
    <t>FT Vest Rising Dividend Achievers Target Income ETF</t>
  </si>
  <si>
    <t>beta</t>
  </si>
  <si>
    <t>alpha</t>
  </si>
  <si>
    <t>sharpratio</t>
  </si>
  <si>
    <t>std3yr</t>
  </si>
  <si>
    <t>secyield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</si>
</sst>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 applyFont="1"/>
    <xf numFmtId="2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D1B787B-55D8-4F47-9538-FC4027C4896D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4b5c5c6d-f2c8-4fee-ad07-8751192fdb50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6C5BD-F67C-7443-8887-E8B295E20CA5}">
  <dimension ref="A1:M19"/>
  <sheetViews>
    <sheetView tabSelected="1" workbookViewId="0">
      <selection activeCell="L2" sqref="L2"/>
    </sheetView>
  </sheetViews>
  <sheetFormatPr baseColWidth="10" defaultRowHeight="16" x14ac:dyDescent="0.2"/>
  <cols>
    <col min="1" max="1" width="50.5" customWidth="1"/>
    <col min="4" max="4" width="21.8320312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</row>
    <row r="2" spans="1:13" x14ac:dyDescent="0.2">
      <c r="A2" s="1" t="s">
        <v>58</v>
      </c>
      <c r="B2" t="s">
        <v>57</v>
      </c>
      <c r="D2" t="s">
        <v>50</v>
      </c>
      <c r="E2" s="2">
        <v>0.6</v>
      </c>
      <c r="F2">
        <v>0.29399999999999998</v>
      </c>
      <c r="G2">
        <v>0.29339999999999999</v>
      </c>
      <c r="H2">
        <v>0.2009</v>
      </c>
      <c r="I2">
        <v>0.85</v>
      </c>
      <c r="J2">
        <v>2.13</v>
      </c>
      <c r="K2">
        <v>1.01</v>
      </c>
      <c r="L2">
        <f>0.1451*100</f>
        <v>14.510000000000002</v>
      </c>
      <c r="M2">
        <v>0.51</v>
      </c>
    </row>
    <row r="3" spans="1:13" x14ac:dyDescent="0.2">
      <c r="A3" t="s">
        <v>36</v>
      </c>
      <c r="B3" t="s">
        <v>18</v>
      </c>
      <c r="D3" t="s">
        <v>51</v>
      </c>
      <c r="E3" s="2">
        <v>0.8</v>
      </c>
      <c r="F3">
        <v>5.2999999999999999E-2</v>
      </c>
      <c r="G3">
        <v>5.8000000000000003E-2</v>
      </c>
      <c r="H3">
        <v>3.2000000000000001E-2</v>
      </c>
      <c r="I3">
        <v>0.46</v>
      </c>
      <c r="J3">
        <v>1.2</v>
      </c>
      <c r="K3">
        <v>0.38</v>
      </c>
      <c r="L3">
        <f>0.0266*100</f>
        <v>2.6599999999999997</v>
      </c>
      <c r="M3">
        <v>4.05</v>
      </c>
    </row>
    <row r="4" spans="1:13" x14ac:dyDescent="0.2">
      <c r="A4" t="s">
        <v>29</v>
      </c>
      <c r="B4" t="s">
        <v>11</v>
      </c>
      <c r="D4" t="s">
        <v>45</v>
      </c>
      <c r="E4" s="2">
        <v>0.75</v>
      </c>
      <c r="F4">
        <v>0.60299999999999998</v>
      </c>
      <c r="G4">
        <v>0.28899999999999998</v>
      </c>
      <c r="H4">
        <v>0.1217</v>
      </c>
      <c r="I4">
        <v>1.32</v>
      </c>
      <c r="J4">
        <v>3.28</v>
      </c>
      <c r="K4">
        <v>1.1000000000000001</v>
      </c>
      <c r="L4">
        <f>0.2108*100</f>
        <v>21.08</v>
      </c>
      <c r="M4">
        <v>0.43</v>
      </c>
    </row>
    <row r="5" spans="1:13" x14ac:dyDescent="0.2">
      <c r="A5" t="s">
        <v>41</v>
      </c>
      <c r="B5" t="s">
        <v>23</v>
      </c>
      <c r="D5" t="s">
        <v>55</v>
      </c>
      <c r="E5" s="2">
        <v>0.75</v>
      </c>
      <c r="F5">
        <v>1.9724999999999999</v>
      </c>
      <c r="G5">
        <v>0.59570000000000001</v>
      </c>
      <c r="H5">
        <v>0.33779999999999999</v>
      </c>
      <c r="I5">
        <v>2.2999999999999998</v>
      </c>
      <c r="J5">
        <v>16</v>
      </c>
      <c r="K5">
        <v>1.33</v>
      </c>
      <c r="L5">
        <f>0.3659*100</f>
        <v>36.590000000000003</v>
      </c>
      <c r="M5">
        <v>0.15</v>
      </c>
    </row>
    <row r="6" spans="1:13" x14ac:dyDescent="0.2">
      <c r="A6" t="s">
        <v>37</v>
      </c>
      <c r="B6" t="s">
        <v>19</v>
      </c>
      <c r="D6" t="s">
        <v>52</v>
      </c>
      <c r="E6" s="2">
        <v>0.7</v>
      </c>
      <c r="F6">
        <v>4.1599999999999998E-2</v>
      </c>
      <c r="G6">
        <v>4.8500000000000001E-2</v>
      </c>
      <c r="H6">
        <v>3.4500000000000003E-2</v>
      </c>
      <c r="I6">
        <v>0.05</v>
      </c>
      <c r="J6">
        <v>0.09</v>
      </c>
      <c r="K6">
        <v>0.19</v>
      </c>
      <c r="L6">
        <f>0.0041*100</f>
        <v>0.41000000000000003</v>
      </c>
      <c r="M6">
        <v>4.1399999999999997</v>
      </c>
    </row>
    <row r="7" spans="1:13" x14ac:dyDescent="0.2">
      <c r="A7" t="s">
        <v>38</v>
      </c>
      <c r="B7" t="s">
        <v>20</v>
      </c>
      <c r="D7" t="s">
        <v>53</v>
      </c>
      <c r="E7" s="2">
        <v>0.28999999999999998</v>
      </c>
      <c r="F7">
        <v>0.05</v>
      </c>
      <c r="G7">
        <v>7.5999999999999998E-2</v>
      </c>
      <c r="H7">
        <v>5.1999999999999998E-2</v>
      </c>
      <c r="I7">
        <v>0.06</v>
      </c>
      <c r="J7">
        <v>2</v>
      </c>
      <c r="K7">
        <v>1.1200000000000001</v>
      </c>
      <c r="L7">
        <f>100*0.0183</f>
        <v>1.83</v>
      </c>
      <c r="M7">
        <v>6.14</v>
      </c>
    </row>
    <row r="8" spans="1:13" x14ac:dyDescent="0.2">
      <c r="A8" t="s">
        <v>35</v>
      </c>
      <c r="B8" t="s">
        <v>17</v>
      </c>
      <c r="D8" t="s">
        <v>50</v>
      </c>
      <c r="E8" s="2">
        <v>0.7</v>
      </c>
      <c r="F8">
        <v>0.26700000000000002</v>
      </c>
      <c r="G8">
        <v>0.1671</v>
      </c>
      <c r="H8">
        <v>0.1145</v>
      </c>
      <c r="I8">
        <v>0.69</v>
      </c>
      <c r="J8">
        <v>1.06</v>
      </c>
      <c r="K8">
        <v>1.19</v>
      </c>
      <c r="L8">
        <f>100*0.0955</f>
        <v>9.5500000000000007</v>
      </c>
      <c r="M8">
        <v>0.15</v>
      </c>
    </row>
    <row r="9" spans="1:13" x14ac:dyDescent="0.2">
      <c r="A9" t="s">
        <v>26</v>
      </c>
      <c r="B9" t="s">
        <v>8</v>
      </c>
      <c r="D9" t="s">
        <v>43</v>
      </c>
      <c r="E9" s="2">
        <v>0.7</v>
      </c>
      <c r="F9">
        <v>0.28920000000000001</v>
      </c>
      <c r="G9">
        <v>0.22900000000000001</v>
      </c>
      <c r="H9">
        <v>0.1115</v>
      </c>
      <c r="I9">
        <v>1.18</v>
      </c>
      <c r="J9">
        <v>1.1100000000000001</v>
      </c>
      <c r="K9">
        <v>1.1200000000000001</v>
      </c>
      <c r="L9">
        <f>100*0.1681</f>
        <v>16.809999999999999</v>
      </c>
      <c r="M9">
        <v>0.15</v>
      </c>
    </row>
    <row r="10" spans="1:13" x14ac:dyDescent="0.2">
      <c r="A10" t="s">
        <v>33</v>
      </c>
      <c r="B10" t="s">
        <v>15</v>
      </c>
      <c r="D10" t="s">
        <v>47</v>
      </c>
      <c r="E10" s="2">
        <v>0.6</v>
      </c>
      <c r="F10">
        <v>0.47660000000000002</v>
      </c>
      <c r="G10">
        <v>0.29049999999999998</v>
      </c>
      <c r="H10">
        <v>4.7899999999999998E-2</v>
      </c>
      <c r="I10">
        <v>1.19</v>
      </c>
      <c r="J10">
        <v>6.77</v>
      </c>
      <c r="K10">
        <v>1.1299999999999999</v>
      </c>
      <c r="L10">
        <f>100*0.2017</f>
        <v>20.169999999999998</v>
      </c>
      <c r="M10">
        <v>0.92</v>
      </c>
    </row>
    <row r="11" spans="1:13" x14ac:dyDescent="0.2">
      <c r="A11" t="s">
        <v>40</v>
      </c>
      <c r="B11" t="s">
        <v>22</v>
      </c>
      <c r="D11" t="s">
        <v>54</v>
      </c>
      <c r="E11" s="2">
        <v>0.7</v>
      </c>
      <c r="F11">
        <v>0.4249</v>
      </c>
      <c r="G11">
        <v>0.3412</v>
      </c>
      <c r="H11">
        <v>0.1041</v>
      </c>
      <c r="I11">
        <v>1.53</v>
      </c>
      <c r="J11">
        <v>4.01</v>
      </c>
      <c r="K11">
        <v>1.1200000000000001</v>
      </c>
      <c r="L11">
        <f>100*0.2411</f>
        <v>24.11</v>
      </c>
      <c r="M11">
        <v>0.96</v>
      </c>
    </row>
    <row r="12" spans="1:13" x14ac:dyDescent="0.2">
      <c r="A12" t="s">
        <v>31</v>
      </c>
      <c r="B12" t="s">
        <v>13</v>
      </c>
      <c r="D12" t="s">
        <v>47</v>
      </c>
      <c r="E12" s="2">
        <v>0.56999999999999995</v>
      </c>
      <c r="F12">
        <v>8.7400000000000005E-2</v>
      </c>
      <c r="G12">
        <v>0.1113</v>
      </c>
      <c r="H12">
        <v>5.91E-2</v>
      </c>
      <c r="I12">
        <v>0.74</v>
      </c>
      <c r="J12">
        <v>-3.37</v>
      </c>
      <c r="K12">
        <v>0.53</v>
      </c>
      <c r="L12">
        <f>100*0.1265</f>
        <v>12.65</v>
      </c>
      <c r="M12">
        <v>1.7</v>
      </c>
    </row>
    <row r="13" spans="1:13" x14ac:dyDescent="0.2">
      <c r="A13" t="s">
        <v>28</v>
      </c>
      <c r="B13" t="s">
        <v>10</v>
      </c>
      <c r="D13" t="s">
        <v>44</v>
      </c>
      <c r="E13" s="2">
        <v>0.56999999999999995</v>
      </c>
      <c r="F13">
        <v>0.2853</v>
      </c>
      <c r="G13">
        <v>0.1996</v>
      </c>
      <c r="H13">
        <v>0.11700000000000001</v>
      </c>
      <c r="I13">
        <v>0.89</v>
      </c>
      <c r="J13">
        <v>1.1100000000000001</v>
      </c>
      <c r="K13">
        <v>1.07</v>
      </c>
      <c r="L13">
        <f>100*0.1355</f>
        <v>13.55</v>
      </c>
      <c r="M13">
        <v>1.01</v>
      </c>
    </row>
    <row r="14" spans="1:13" x14ac:dyDescent="0.2">
      <c r="A14" t="s">
        <v>32</v>
      </c>
      <c r="B14" t="s">
        <v>14</v>
      </c>
      <c r="D14" t="s">
        <v>48</v>
      </c>
      <c r="E14" s="2">
        <v>0.65</v>
      </c>
      <c r="F14">
        <v>0.2409</v>
      </c>
      <c r="G14">
        <v>0.21990000000000001</v>
      </c>
      <c r="H14">
        <v>0.10539999999999999</v>
      </c>
      <c r="I14">
        <v>0.96</v>
      </c>
      <c r="J14">
        <v>3.51</v>
      </c>
      <c r="K14">
        <v>1.07</v>
      </c>
      <c r="L14">
        <f>100*0.1536</f>
        <v>15.36</v>
      </c>
      <c r="M14">
        <v>2.31</v>
      </c>
    </row>
    <row r="15" spans="1:13" x14ac:dyDescent="0.2">
      <c r="A15" t="s">
        <v>34</v>
      </c>
      <c r="B15" t="s">
        <v>16</v>
      </c>
      <c r="D15" t="s">
        <v>49</v>
      </c>
      <c r="E15" s="2">
        <v>0.68</v>
      </c>
      <c r="F15">
        <v>0.34699999999999998</v>
      </c>
      <c r="G15">
        <v>0.27210000000000001</v>
      </c>
      <c r="H15">
        <v>0.124</v>
      </c>
      <c r="I15">
        <v>1.1000000000000001</v>
      </c>
      <c r="J15">
        <v>5.76</v>
      </c>
      <c r="K15">
        <v>1.24</v>
      </c>
      <c r="L15">
        <f>100*0.1626</f>
        <v>16.259999999999998</v>
      </c>
      <c r="M15">
        <v>1.5</v>
      </c>
    </row>
    <row r="16" spans="1:13" x14ac:dyDescent="0.2">
      <c r="A16" t="s">
        <v>39</v>
      </c>
      <c r="B16" t="s">
        <v>21</v>
      </c>
      <c r="D16" t="s">
        <v>25</v>
      </c>
      <c r="E16" s="2">
        <v>0.7</v>
      </c>
      <c r="F16">
        <v>0.34449999999999997</v>
      </c>
      <c r="G16">
        <v>0.111</v>
      </c>
      <c r="H16">
        <v>0.10879999999999999</v>
      </c>
      <c r="I16">
        <v>1.19</v>
      </c>
      <c r="J16">
        <v>-2.41</v>
      </c>
      <c r="K16">
        <v>0.83</v>
      </c>
      <c r="L16">
        <f>100*0.1874</f>
        <v>18.740000000000002</v>
      </c>
      <c r="M16">
        <v>1.49</v>
      </c>
    </row>
    <row r="17" spans="1:13" x14ac:dyDescent="0.2">
      <c r="A17" t="s">
        <v>42</v>
      </c>
      <c r="B17" t="s">
        <v>24</v>
      </c>
      <c r="D17" t="s">
        <v>56</v>
      </c>
      <c r="E17" s="2">
        <v>0.57999999999999996</v>
      </c>
      <c r="F17">
        <v>0.26390000000000002</v>
      </c>
      <c r="G17">
        <v>0.44879999999999998</v>
      </c>
      <c r="H17">
        <v>0.31990000000000002</v>
      </c>
      <c r="I17">
        <v>1.42</v>
      </c>
      <c r="J17">
        <v>8.6</v>
      </c>
      <c r="K17">
        <v>1.18</v>
      </c>
      <c r="L17">
        <f>100*0.2445</f>
        <v>24.45</v>
      </c>
      <c r="M17">
        <v>0.1</v>
      </c>
    </row>
    <row r="18" spans="1:13" x14ac:dyDescent="0.2">
      <c r="A18" t="s">
        <v>30</v>
      </c>
      <c r="B18" t="s">
        <v>12</v>
      </c>
      <c r="D18" t="s">
        <v>46</v>
      </c>
      <c r="E18" s="2">
        <v>0.8</v>
      </c>
      <c r="F18">
        <v>0.2732</v>
      </c>
      <c r="G18">
        <v>0.21740000000000001</v>
      </c>
      <c r="H18">
        <v>0.1026</v>
      </c>
      <c r="I18">
        <v>0.99</v>
      </c>
      <c r="J18">
        <v>-0.55000000000000004</v>
      </c>
      <c r="K18">
        <v>0.87</v>
      </c>
      <c r="L18">
        <f>100*0.1727</f>
        <v>17.27</v>
      </c>
      <c r="M18">
        <v>0.69</v>
      </c>
    </row>
    <row r="19" spans="1:13" x14ac:dyDescent="0.2">
      <c r="A19" t="s">
        <v>27</v>
      </c>
      <c r="B19" t="s">
        <v>9</v>
      </c>
      <c r="D19" t="s">
        <v>44</v>
      </c>
      <c r="E19" s="2">
        <v>0.55000000000000004</v>
      </c>
      <c r="F19">
        <v>0.28460000000000002</v>
      </c>
      <c r="G19">
        <v>0.2165</v>
      </c>
      <c r="H19">
        <v>0.12429999999999999</v>
      </c>
      <c r="I19">
        <v>0.94</v>
      </c>
      <c r="J19">
        <v>0.82</v>
      </c>
      <c r="K19">
        <v>1.18</v>
      </c>
      <c r="L19">
        <f>100*0.1312</f>
        <v>13.120000000000001</v>
      </c>
      <c r="M19">
        <v>0.72</v>
      </c>
    </row>
  </sheetData>
  <sortState xmlns:xlrd2="http://schemas.microsoft.com/office/spreadsheetml/2017/richdata2" ref="A2:M19">
    <sortCondition descending="1" ref="B1:B19"/>
  </sortState>
  <pageMargins left="0.7" right="0.7" top="0.75" bottom="0.75" header="0.3" footer="0.3"/>
  <pageSetup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Impellizeri</dc:creator>
  <cp:lastModifiedBy>Joseph Impellizeri</cp:lastModifiedBy>
  <dcterms:created xsi:type="dcterms:W3CDTF">2026-07-28T16:58:22Z</dcterms:created>
  <dcterms:modified xsi:type="dcterms:W3CDTF">2026-08-07T13:35:35Z</dcterms:modified>
</cp:coreProperties>
</file>