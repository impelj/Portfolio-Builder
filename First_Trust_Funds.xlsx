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mpellizeri/Desktop/Aspire/"/>
    </mc:Choice>
  </mc:AlternateContent>
  <xr:revisionPtr revIDLastSave="0" documentId="13_ncr:1_{930FE0DF-B243-A945-A844-4CBF5BC883B7}" xr6:coauthVersionLast="47" xr6:coauthVersionMax="47" xr10:uidLastSave="{00000000-0000-0000-0000-000000000000}"/>
  <bookViews>
    <workbookView xWindow="53240" yWindow="600" windowWidth="23560" windowHeight="19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Joseph Impellizeri</author>
  </authors>
  <commentList>
    <comment ref="A2" authorId="0" shapeId="0" xr:uid="{00000000-0006-0000-0000-000001000000}">
      <text>
        <r>
          <rPr>
            <sz val="12"/>
            <color rgb="FF000000"/>
            <rFont val="Aptos Narrow"/>
            <family val="2"/>
          </rPr>
          <t xml:space="preserve">Joseph Impellizeri:
</t>
        </r>
        <r>
          <rPr>
            <sz val="12"/>
            <color rgb="FF000000"/>
            <rFont val="Aptos Narrow"/>
            <family val="2"/>
          </rPr>
          <t>Source: First Trust Portfolios (official), https://www.ftportfolios.com/retail/etf/etfsummary.aspx?Ticker=AFLG</t>
        </r>
      </text>
    </comment>
    <comment ref="L2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4/30/2026), https://www.ftportfolios.com/retail/etf/etfsummary.aspx?Ticker=AFLG</t>
        </r>
      </text>
    </comment>
    <comment ref="A3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https://www.ftportfolios.com/Retail/Etf/EtfSummary.aspx?Ticker=AFMC</t>
        </r>
      </text>
    </comment>
    <comment ref="L3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https://www.ftportfolios.com/Retail/Etf/EtfSummary.aspx?Ticker=AFMC</t>
        </r>
      </text>
    </comment>
    <comment ref="A4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(Morningstar-sourced), https://finance.yahoo.com/quote/AIRR/. Note: other secondary sources (PortfoliosLab) showed a materially different 1-yr figure (~82%); Yahoo/Morningstar figure used as primary.</t>
        </r>
      </text>
    </comment>
    <comment ref="L4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https://www.ftportfolios.com/retail/etf/etfsummary.aspx?Ticker=AIRR</t>
        </r>
      </text>
    </comment>
    <comment ref="A5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 and MarketBeat.</t>
        </r>
      </text>
    </comment>
    <comment ref="L5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https://www.ftportfolios.com/Retail/Etf/EtfSummary.aspx?Ticker=DVLU</t>
        </r>
      </text>
    </comment>
    <comment ref="A6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Joseph Impellizeri:
Source: Expense ratio/category via Yahoo Finance &amp; Charles Schwab ETF report (Morningstar-sourced). 3-yr return not confirmed from an official source; left blank.</t>
        </r>
      </text>
    </comment>
    <comment ref="L6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https://www.ftportfolios.com/retail/etf/etfsummary.aspx?Ticker=FDT</t>
        </r>
      </text>
    </comment>
    <comment ref="A7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https://www.ftportfolios.com/retail/etf/etfsummary.aspx?Ticker=FEUZ. Category per Robinhood/US News.</t>
        </r>
      </text>
    </comment>
    <comment ref="L7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https://www.ftportfolios.com/retail/etf/etfsummary.aspx?Ticker=FEUZ</t>
        </r>
      </text>
    </comment>
    <comment ref="A8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https://www.ftportfolios.com/retail/etf/etfsummary.aspx?Ticker=FEX. Category per stockanalysis.com/Robinhood.</t>
        </r>
      </text>
    </comment>
    <comment ref="L8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https://www.ftportfolios.com/retail/etf/etfsummary.aspx?Ticker=FEX</t>
        </r>
      </text>
    </comment>
    <comment ref="A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https://www.ftportfolios.com/retail/etf/etfsummary.aspx?Ticker=FICS</t>
        </r>
      </text>
    </comment>
    <comment ref="L9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https://www.ftportfolios.com/Retail/Etf/EtfSummary.aspx?Ticker=FICS</t>
        </r>
      </text>
    </comment>
    <comment ref="A10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>Joseph Impellizeri:
Source: Yahoo Finance (Morningstar-sourced) performance page, https://finance.yahoo.com/quote/FPX/performance/</t>
        </r>
      </text>
    </comment>
    <comment ref="L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https://www.ftportfolios.com/retail/etf/etfsummary.aspx?Ticker=FPX</t>
        </r>
      </text>
    </comment>
    <comment ref="A1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https://www.ftportfolios.com/retail/etf/etfsummary.aspx?Ticker=FPXI</t>
        </r>
      </text>
    </comment>
    <comment ref="L1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https://www.ftportfolios.com/Retail/Etf/EtfSummary.aspx?Ticker=FPXI</t>
        </r>
      </text>
    </comment>
    <comment ref="A12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https://www.ftportfolios.com/retail/etf/etfsummary.aspx?Ticker=FTC. Category per Yahoo Finance/Morningstar.</t>
        </r>
      </text>
    </comment>
    <comment ref="L12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https://www.ftportfolios.com/retail/ETF/ETFsummary.aspx?Ticker=FTC</t>
        </r>
      </text>
    </comment>
    <comment ref="A13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https://www.ftportfolios.com/Retail/Etf/EtfSummary.aspx?Ticker=FTQI</t>
        </r>
      </text>
    </comment>
    <comment ref="L13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https://www.ftportfolios.com/Retail/Etf/EtfSummary.aspx?Ticker=FTQI</t>
        </r>
      </text>
    </comment>
    <comment ref="A14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Joseph Impellizeri:
Source: MutualFunds.com fund profile page (secondary aggregator; First Trust's own site was not reliably accessible for this ticker).</t>
        </r>
      </text>
    </comment>
    <comment ref="L14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https://www.ftportfolios.com/retail/etf/etfsummary.aspx?Ticker=FTSL</t>
        </r>
      </text>
    </comment>
    <comment ref="A15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https://www.ftportfolios.com/retail/etf/etfsummary.aspx?Ticker=FTSM</t>
        </r>
      </text>
    </comment>
    <comment ref="L15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https://www.ftportfolios.com/retail/etf/etfsummary.aspx?Ticker=FTSM</t>
        </r>
      </text>
    </comment>
    <comment ref="A16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https://www.ftportfolios.com/retail/etf/etfsummary.aspx?Ticker=FTXL</t>
        </r>
      </text>
    </comment>
    <comment ref="L16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https://www.ftportfolios.com/retail/etf/etfsummary.aspx?Ticker=FTXL</t>
        </r>
      </text>
    </comment>
    <comment ref="A17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https://www.ftportfolios.com/retail/etf/etfsummary.aspx?Ticker=FYC</t>
        </r>
      </text>
    </comment>
    <comment ref="L17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https://www.ftportfolios.com/retail/etf/etfsummary.aspx?Ticker=FYC</t>
        </r>
      </text>
    </comment>
    <comment ref="A18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Joseph Impellizeri:
Source: Dividend.com / MutualFunds.com fund profile pages (secondary aggregators; First Trust's own site was not reliably accessible for this ticker).</t>
        </r>
      </text>
    </comment>
    <comment ref="L18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6/30/2026), https://www.ftportfolios.com/retail/etf/etfsummary.aspx?Ticker=LMBS</t>
        </r>
      </text>
    </comment>
    <comment ref="A19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Joseph Impellizeri:
Source: Charles Schwab ETF report (Morningstar-sourced standardized returns) and Robinhood/Seeking Alpha for category and expense ratio. Fund inception Oct 19, 2022 — too young for a 5-yr return; 3-yr not confirmed from a reliable source, left blank.</t>
        </r>
      </text>
    </comment>
    <comment ref="L19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Joseph Impellizeri:
Source: First Trust Portfolios (official), 3-Year Statistics table (as of 5/29/2026), https://www.ftportfolios.com/Retail/Etf/EtfSummary.aspx?Ticker=RDVI</t>
        </r>
      </text>
    </comment>
  </commentList>
</comments>
</file>

<file path=xl/sharedStrings.xml><?xml version="1.0" encoding="utf-8"?>
<sst xmlns="http://schemas.openxmlformats.org/spreadsheetml/2006/main" count="106" uniqueCount="93">
  <si>
    <t>name</t>
  </si>
  <si>
    <t>ticker</t>
  </si>
  <si>
    <t>objname</t>
  </si>
  <si>
    <t>catname</t>
  </si>
  <si>
    <t>expratio</t>
  </si>
  <si>
    <t>tr1yr</t>
  </si>
  <si>
    <t>tr3yr</t>
  </si>
  <si>
    <t>tr5yr</t>
  </si>
  <si>
    <t>beta</t>
  </si>
  <si>
    <t>alpha</t>
  </si>
  <si>
    <t>sharpratio</t>
  </si>
  <si>
    <t>std3yr</t>
  </si>
  <si>
    <t>secyield</t>
  </si>
  <si>
    <t>First Trust Active Factor Large Cap ETF</t>
  </si>
  <si>
    <t>AFLG</t>
  </si>
  <si>
    <t>Large Blend</t>
  </si>
  <si>
    <t>First Trust Active Factor Mid Cap ETF</t>
  </si>
  <si>
    <t>AFMC</t>
  </si>
  <si>
    <t>Mid-Cap Blend</t>
  </si>
  <si>
    <t>First Trust RBA American Industrial Renaissance® ETF</t>
  </si>
  <si>
    <t>AIRR</t>
  </si>
  <si>
    <t>Industrials</t>
  </si>
  <si>
    <t>First Trust Dorsey Wright Momentum &amp; Value ETF</t>
  </si>
  <si>
    <t>DVLU</t>
  </si>
  <si>
    <t>Mid-Cap Value</t>
  </si>
  <si>
    <t>First Trust Developed Markets ex-US AlphaDEX® Fund</t>
  </si>
  <si>
    <t>FDT</t>
  </si>
  <si>
    <t>Foreign Large Value</t>
  </si>
  <si>
    <t>First Trust Eurozone AlphaDEX® ETF</t>
  </si>
  <si>
    <t>FEUZ</t>
  </si>
  <si>
    <t>Europe Stock</t>
  </si>
  <si>
    <t>First Trust Large Cap Core AlphaDEX® Fund</t>
  </si>
  <si>
    <t>FEX</t>
  </si>
  <si>
    <t>First Trust International Developed Capital Strength® ETF</t>
  </si>
  <si>
    <t>FICS</t>
  </si>
  <si>
    <t>Foreign Large Growth</t>
  </si>
  <si>
    <t>First Trust US Equity Opportunities ETF</t>
  </si>
  <si>
    <t>FPX</t>
  </si>
  <si>
    <t>Mid-Cap Growth</t>
  </si>
  <si>
    <t>First Trust International Equity Opportunities ETF</t>
  </si>
  <si>
    <t>FPXI</t>
  </si>
  <si>
    <t>First Trust Large Cap Growth AlphaDEX® Fund</t>
  </si>
  <si>
    <t>FTC</t>
  </si>
  <si>
    <t>Large Growth</t>
  </si>
  <si>
    <t>First Trust Nasdaq BuyWrite Income ETF</t>
  </si>
  <si>
    <t>FTQI</t>
  </si>
  <si>
    <t>Derivative Income</t>
  </si>
  <si>
    <t>First Trust Senior Loan Fund</t>
  </si>
  <si>
    <t>FTSL</t>
  </si>
  <si>
    <t>Bank Loan</t>
  </si>
  <si>
    <t>First Trust Enhanced Short Maturity ETF</t>
  </si>
  <si>
    <t>FTSM</t>
  </si>
  <si>
    <t>Ultrashort Bond</t>
  </si>
  <si>
    <t>First Trust Nasdaq Semiconductor ETF</t>
  </si>
  <si>
    <t>FTXL</t>
  </si>
  <si>
    <t>Technology</t>
  </si>
  <si>
    <t>First Trust Small Cap Growth AlphaDEX® Fund</t>
  </si>
  <si>
    <t>FYC</t>
  </si>
  <si>
    <t>Small Growth</t>
  </si>
  <si>
    <t>First Trust Low Duration Opportunities ETF</t>
  </si>
  <si>
    <t>LMBS</t>
  </si>
  <si>
    <t>Short Government</t>
  </si>
  <si>
    <t>FT Vest Rising Dividend Achievers Target Income ETF</t>
  </si>
  <si>
    <t>RDVI</t>
  </si>
  <si>
    <t>First Trust Dorsey Wright Focus 5 ETF</t>
  </si>
  <si>
    <t>FV</t>
  </si>
  <si>
    <t>FT Energy Income Partners Enhanced Income ETF</t>
  </si>
  <si>
    <t>EIPI</t>
  </si>
  <si>
    <t>First Trust North American Energy Infrastructure Fund</t>
  </si>
  <si>
    <t>EMLP</t>
  </si>
  <si>
    <t>Energy Limited Partnership</t>
  </si>
  <si>
    <t>First Trust Global Tactical Commodity Strategy Fund</t>
  </si>
  <si>
    <t>FTGC</t>
  </si>
  <si>
    <t>First Trust NASDAQ-100-Technology Sector Index Fund</t>
  </si>
  <si>
    <t>QTEC</t>
  </si>
  <si>
    <t>First Trust IndXX NextG ETF</t>
  </si>
  <si>
    <t>NXTG</t>
  </si>
  <si>
    <t>First Trust BuyWrite Income ETF</t>
  </si>
  <si>
    <t>FTHI</t>
  </si>
  <si>
    <t>First Trust Indxx Aerospace &amp; Defense ETF</t>
  </si>
  <si>
    <t>MISL</t>
  </si>
  <si>
    <t>First Trust Nasdaq Pharmaceuticals ETF</t>
  </si>
  <si>
    <t>FTXH</t>
  </si>
  <si>
    <t>Pharmaceuticals</t>
  </si>
  <si>
    <t>First Trust Active Factor Small Cap ETF</t>
  </si>
  <si>
    <t>AFSM</t>
  </si>
  <si>
    <t>First Trust China AlphaDEX Fund</t>
  </si>
  <si>
    <t>FCA</t>
  </si>
  <si>
    <t>First Trust India NIFTY 50 Equal Weight ETF</t>
  </si>
  <si>
    <t>NFTY</t>
  </si>
  <si>
    <t>First Trust Dow Jones Select MicroCap Index Fund</t>
  </si>
  <si>
    <t>FDM</t>
  </si>
  <si>
    <t>Emerging Markets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</si>
</sst>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1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5EA224-A1CD-544F-9520-DBF5F4E7B98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aeac8b9-cab5-496a-ac56-333b800329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workbookViewId="0">
      <selection activeCell="Q16" sqref="Q16"/>
    </sheetView>
  </sheetViews>
  <sheetFormatPr baseColWidth="10" defaultRowHeight="16" x14ac:dyDescent="0.2"/>
  <cols>
    <col min="1" max="1" width="50.5" customWidth="1"/>
    <col min="4" max="4" width="21.832031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t="s">
        <v>13</v>
      </c>
      <c r="B2" t="s">
        <v>14</v>
      </c>
      <c r="D2" t="s">
        <v>15</v>
      </c>
      <c r="E2" s="2">
        <v>0.55000000000000004</v>
      </c>
      <c r="F2">
        <v>0.28460000000000002</v>
      </c>
      <c r="G2">
        <v>0.2165</v>
      </c>
      <c r="H2">
        <v>0.12429999999999999</v>
      </c>
      <c r="I2">
        <v>0.94</v>
      </c>
      <c r="J2">
        <v>0.82</v>
      </c>
      <c r="K2">
        <v>1.18</v>
      </c>
      <c r="L2">
        <f>100*0.1312</f>
        <v>13.120000000000001</v>
      </c>
      <c r="M2">
        <v>0.72</v>
      </c>
    </row>
    <row r="3" spans="1:13" x14ac:dyDescent="0.2">
      <c r="A3" t="s">
        <v>16</v>
      </c>
      <c r="B3" t="s">
        <v>17</v>
      </c>
      <c r="D3" t="s">
        <v>18</v>
      </c>
      <c r="E3" s="2">
        <v>0.8</v>
      </c>
      <c r="F3">
        <v>0.2732</v>
      </c>
      <c r="G3">
        <v>0.21740000000000001</v>
      </c>
      <c r="H3">
        <v>0.1026</v>
      </c>
      <c r="I3">
        <v>0.99</v>
      </c>
      <c r="J3">
        <v>-0.55000000000000004</v>
      </c>
      <c r="K3">
        <v>0.87</v>
      </c>
      <c r="L3">
        <f>100*0.1727</f>
        <v>17.27</v>
      </c>
      <c r="M3">
        <v>0.69</v>
      </c>
    </row>
    <row r="4" spans="1:13" x14ac:dyDescent="0.2">
      <c r="A4" t="s">
        <v>19</v>
      </c>
      <c r="B4" t="s">
        <v>20</v>
      </c>
      <c r="D4" t="s">
        <v>21</v>
      </c>
      <c r="E4" s="2">
        <v>0.57999999999999996</v>
      </c>
      <c r="F4">
        <v>0.26390000000000002</v>
      </c>
      <c r="G4">
        <v>0.44879999999999998</v>
      </c>
      <c r="H4">
        <v>0.31990000000000002</v>
      </c>
      <c r="I4">
        <v>1.42</v>
      </c>
      <c r="J4">
        <v>8.6</v>
      </c>
      <c r="K4">
        <v>1.18</v>
      </c>
      <c r="L4">
        <f>100*0.2445</f>
        <v>24.45</v>
      </c>
      <c r="M4">
        <v>0.1</v>
      </c>
    </row>
    <row r="5" spans="1:13" x14ac:dyDescent="0.2">
      <c r="A5" t="s">
        <v>22</v>
      </c>
      <c r="B5" t="s">
        <v>23</v>
      </c>
      <c r="D5" t="s">
        <v>24</v>
      </c>
      <c r="E5" s="2">
        <v>0.7</v>
      </c>
      <c r="F5">
        <v>0.34449999999999997</v>
      </c>
      <c r="G5">
        <v>0.111</v>
      </c>
      <c r="H5">
        <v>0.10879999999999999</v>
      </c>
      <c r="I5">
        <v>1.19</v>
      </c>
      <c r="J5">
        <v>-2.41</v>
      </c>
      <c r="K5">
        <v>0.83</v>
      </c>
      <c r="L5">
        <f>100*0.1874</f>
        <v>18.740000000000002</v>
      </c>
      <c r="M5">
        <v>1.49</v>
      </c>
    </row>
    <row r="6" spans="1:13" x14ac:dyDescent="0.2">
      <c r="A6" t="s">
        <v>25</v>
      </c>
      <c r="B6" t="s">
        <v>26</v>
      </c>
      <c r="D6" t="s">
        <v>27</v>
      </c>
      <c r="E6" s="2">
        <v>0.68</v>
      </c>
      <c r="F6">
        <v>0.34699999999999998</v>
      </c>
      <c r="G6">
        <v>0.27210000000000001</v>
      </c>
      <c r="H6">
        <v>0.124</v>
      </c>
      <c r="I6">
        <v>1.1000000000000001</v>
      </c>
      <c r="J6">
        <v>5.76</v>
      </c>
      <c r="K6">
        <v>1.24</v>
      </c>
      <c r="L6">
        <f>100*0.1626</f>
        <v>16.259999999999998</v>
      </c>
      <c r="M6">
        <v>1.5</v>
      </c>
    </row>
    <row r="7" spans="1:13" x14ac:dyDescent="0.2">
      <c r="A7" t="s">
        <v>28</v>
      </c>
      <c r="B7" t="s">
        <v>29</v>
      </c>
      <c r="D7" t="s">
        <v>30</v>
      </c>
      <c r="E7" s="2">
        <v>0.65</v>
      </c>
      <c r="F7">
        <v>0.2409</v>
      </c>
      <c r="G7">
        <v>0.21990000000000001</v>
      </c>
      <c r="H7">
        <v>0.10539999999999999</v>
      </c>
      <c r="I7">
        <v>0.96</v>
      </c>
      <c r="J7">
        <v>3.51</v>
      </c>
      <c r="K7">
        <v>1.07</v>
      </c>
      <c r="L7">
        <f>100*0.1536</f>
        <v>15.36</v>
      </c>
      <c r="M7">
        <v>2.31</v>
      </c>
    </row>
    <row r="8" spans="1:13" x14ac:dyDescent="0.2">
      <c r="A8" t="s">
        <v>31</v>
      </c>
      <c r="B8" t="s">
        <v>32</v>
      </c>
      <c r="D8" t="s">
        <v>15</v>
      </c>
      <c r="E8" s="2">
        <v>0.56999999999999995</v>
      </c>
      <c r="F8">
        <v>0.2853</v>
      </c>
      <c r="G8">
        <v>0.1996</v>
      </c>
      <c r="H8">
        <v>0.11700000000000001</v>
      </c>
      <c r="I8">
        <v>0.89</v>
      </c>
      <c r="J8">
        <v>1.1100000000000001</v>
      </c>
      <c r="K8">
        <v>1.07</v>
      </c>
      <c r="L8">
        <f>100*0.1355</f>
        <v>13.55</v>
      </c>
      <c r="M8">
        <v>1.01</v>
      </c>
    </row>
    <row r="9" spans="1:13" x14ac:dyDescent="0.2">
      <c r="A9" t="s">
        <v>33</v>
      </c>
      <c r="B9" t="s">
        <v>34</v>
      </c>
      <c r="D9" t="s">
        <v>35</v>
      </c>
      <c r="E9" s="2">
        <v>0.56999999999999995</v>
      </c>
      <c r="F9">
        <v>8.7400000000000005E-2</v>
      </c>
      <c r="G9">
        <v>0.1113</v>
      </c>
      <c r="H9">
        <v>5.91E-2</v>
      </c>
      <c r="I9">
        <v>0.74</v>
      </c>
      <c r="J9">
        <v>-3.37</v>
      </c>
      <c r="K9">
        <v>0.53</v>
      </c>
      <c r="L9">
        <f>100*0.1265</f>
        <v>12.65</v>
      </c>
      <c r="M9">
        <v>1.7</v>
      </c>
    </row>
    <row r="10" spans="1:13" x14ac:dyDescent="0.2">
      <c r="A10" t="s">
        <v>36</v>
      </c>
      <c r="B10" t="s">
        <v>37</v>
      </c>
      <c r="D10" t="s">
        <v>38</v>
      </c>
      <c r="E10" s="2">
        <v>0.7</v>
      </c>
      <c r="F10">
        <v>0.4249</v>
      </c>
      <c r="G10">
        <v>0.3412</v>
      </c>
      <c r="H10">
        <v>0.1041</v>
      </c>
      <c r="I10">
        <v>1.53</v>
      </c>
      <c r="J10">
        <v>4.01</v>
      </c>
      <c r="K10">
        <v>1.1200000000000001</v>
      </c>
      <c r="L10">
        <f>100*0.2411</f>
        <v>24.11</v>
      </c>
      <c r="M10">
        <v>0.96</v>
      </c>
    </row>
    <row r="11" spans="1:13" x14ac:dyDescent="0.2">
      <c r="A11" t="s">
        <v>39</v>
      </c>
      <c r="B11" t="s">
        <v>40</v>
      </c>
      <c r="D11" t="s">
        <v>35</v>
      </c>
      <c r="E11" s="2">
        <v>0.6</v>
      </c>
      <c r="F11">
        <v>0.47660000000000002</v>
      </c>
      <c r="G11">
        <v>0.29049999999999998</v>
      </c>
      <c r="H11">
        <v>4.7899999999999998E-2</v>
      </c>
      <c r="I11">
        <v>1.19</v>
      </c>
      <c r="J11">
        <v>6.77</v>
      </c>
      <c r="K11">
        <v>1.1299999999999999</v>
      </c>
      <c r="L11">
        <f>100*0.2017</f>
        <v>20.169999999999998</v>
      </c>
      <c r="M11">
        <v>0.92</v>
      </c>
    </row>
    <row r="12" spans="1:13" x14ac:dyDescent="0.2">
      <c r="A12" t="s">
        <v>41</v>
      </c>
      <c r="B12" t="s">
        <v>42</v>
      </c>
      <c r="D12" t="s">
        <v>43</v>
      </c>
      <c r="E12" s="2">
        <v>0.7</v>
      </c>
      <c r="F12">
        <v>0.28920000000000001</v>
      </c>
      <c r="G12">
        <v>0.22900000000000001</v>
      </c>
      <c r="H12">
        <v>0.1115</v>
      </c>
      <c r="I12">
        <v>1.18</v>
      </c>
      <c r="J12">
        <v>1.1100000000000001</v>
      </c>
      <c r="K12">
        <v>1.1200000000000001</v>
      </c>
      <c r="L12">
        <f>100*0.1681</f>
        <v>16.809999999999999</v>
      </c>
      <c r="M12">
        <v>0.15</v>
      </c>
    </row>
    <row r="13" spans="1:13" x14ac:dyDescent="0.2">
      <c r="A13" t="s">
        <v>44</v>
      </c>
      <c r="B13" t="s">
        <v>45</v>
      </c>
      <c r="D13" t="s">
        <v>46</v>
      </c>
      <c r="E13" s="2">
        <v>0.7</v>
      </c>
      <c r="F13">
        <v>0.26700000000000002</v>
      </c>
      <c r="G13">
        <v>0.1671</v>
      </c>
      <c r="H13">
        <v>0.1145</v>
      </c>
      <c r="I13">
        <v>0.69</v>
      </c>
      <c r="J13">
        <v>1.06</v>
      </c>
      <c r="K13">
        <v>1.19</v>
      </c>
      <c r="L13">
        <f>100*0.0955</f>
        <v>9.5500000000000007</v>
      </c>
      <c r="M13">
        <v>0.15</v>
      </c>
    </row>
    <row r="14" spans="1:13" x14ac:dyDescent="0.2">
      <c r="A14" t="s">
        <v>47</v>
      </c>
      <c r="B14" t="s">
        <v>48</v>
      </c>
      <c r="D14" t="s">
        <v>49</v>
      </c>
      <c r="E14" s="2">
        <v>0.28999999999999998</v>
      </c>
      <c r="F14">
        <v>0.05</v>
      </c>
      <c r="G14">
        <v>7.5999999999999998E-2</v>
      </c>
      <c r="H14">
        <v>5.1999999999999998E-2</v>
      </c>
      <c r="I14">
        <v>0.06</v>
      </c>
      <c r="J14">
        <v>2</v>
      </c>
      <c r="K14">
        <v>1.1200000000000001</v>
      </c>
      <c r="L14">
        <f>100*0.0183</f>
        <v>1.83</v>
      </c>
      <c r="M14">
        <v>6.14</v>
      </c>
    </row>
    <row r="15" spans="1:13" x14ac:dyDescent="0.2">
      <c r="A15" t="s">
        <v>50</v>
      </c>
      <c r="B15" t="s">
        <v>51</v>
      </c>
      <c r="D15" t="s">
        <v>52</v>
      </c>
      <c r="E15" s="2">
        <v>0.7</v>
      </c>
      <c r="F15">
        <v>4.1599999999999998E-2</v>
      </c>
      <c r="G15">
        <v>4.8500000000000001E-2</v>
      </c>
      <c r="H15">
        <v>3.4500000000000003E-2</v>
      </c>
      <c r="I15">
        <v>0.05</v>
      </c>
      <c r="J15">
        <v>0.09</v>
      </c>
      <c r="K15">
        <v>0.19</v>
      </c>
      <c r="L15">
        <f>0.0041*100</f>
        <v>0.41000000000000003</v>
      </c>
      <c r="M15">
        <v>4.1399999999999997</v>
      </c>
    </row>
    <row r="16" spans="1:13" x14ac:dyDescent="0.2">
      <c r="A16" t="s">
        <v>53</v>
      </c>
      <c r="B16" t="s">
        <v>54</v>
      </c>
      <c r="D16" t="s">
        <v>55</v>
      </c>
      <c r="E16" s="2">
        <v>0.75</v>
      </c>
      <c r="F16">
        <v>1.9724999999999999</v>
      </c>
      <c r="G16">
        <v>0.59570000000000001</v>
      </c>
      <c r="H16">
        <v>0.33779999999999999</v>
      </c>
      <c r="I16">
        <v>2.2999999999999998</v>
      </c>
      <c r="J16">
        <v>16</v>
      </c>
      <c r="K16">
        <v>1.33</v>
      </c>
      <c r="L16">
        <f>0.3659*100</f>
        <v>36.590000000000003</v>
      </c>
      <c r="M16">
        <v>0.15</v>
      </c>
    </row>
    <row r="17" spans="1:13" x14ac:dyDescent="0.2">
      <c r="A17" t="s">
        <v>56</v>
      </c>
      <c r="B17" t="s">
        <v>57</v>
      </c>
      <c r="D17" t="s">
        <v>58</v>
      </c>
      <c r="E17" s="2">
        <v>0.75</v>
      </c>
      <c r="F17">
        <v>0.60299999999999998</v>
      </c>
      <c r="G17">
        <v>0.28899999999999998</v>
      </c>
      <c r="H17">
        <v>0.1217</v>
      </c>
      <c r="I17">
        <v>1.32</v>
      </c>
      <c r="J17">
        <v>3.28</v>
      </c>
      <c r="K17">
        <v>1.1000000000000001</v>
      </c>
      <c r="L17">
        <f>0.2108*100</f>
        <v>21.08</v>
      </c>
      <c r="M17">
        <v>0.43</v>
      </c>
    </row>
    <row r="18" spans="1:13" x14ac:dyDescent="0.2">
      <c r="A18" t="s">
        <v>59</v>
      </c>
      <c r="B18" t="s">
        <v>60</v>
      </c>
      <c r="D18" t="s">
        <v>61</v>
      </c>
      <c r="E18" s="2">
        <v>0.8</v>
      </c>
      <c r="F18">
        <v>5.2999999999999999E-2</v>
      </c>
      <c r="G18">
        <v>5.8000000000000003E-2</v>
      </c>
      <c r="H18">
        <v>3.2000000000000001E-2</v>
      </c>
      <c r="I18">
        <v>0.46</v>
      </c>
      <c r="J18">
        <v>1.2</v>
      </c>
      <c r="K18">
        <v>0.38</v>
      </c>
      <c r="L18">
        <f>0.0266*100</f>
        <v>2.6599999999999997</v>
      </c>
      <c r="M18">
        <v>4.05</v>
      </c>
    </row>
    <row r="19" spans="1:13" x14ac:dyDescent="0.2">
      <c r="A19" s="1" t="s">
        <v>62</v>
      </c>
      <c r="B19" t="s">
        <v>63</v>
      </c>
      <c r="D19" t="s">
        <v>46</v>
      </c>
      <c r="E19" s="2">
        <v>0.6</v>
      </c>
      <c r="F19">
        <v>0.29399999999999998</v>
      </c>
      <c r="G19">
        <v>0.29339999999999999</v>
      </c>
      <c r="H19">
        <v>0.2009</v>
      </c>
      <c r="I19">
        <v>0.85</v>
      </c>
      <c r="J19">
        <v>2.13</v>
      </c>
      <c r="K19">
        <v>1.01</v>
      </c>
      <c r="L19">
        <f>0.1451*100</f>
        <v>14.510000000000002</v>
      </c>
      <c r="M19">
        <v>0.51</v>
      </c>
    </row>
    <row r="20" spans="1:13" x14ac:dyDescent="0.2">
      <c r="A20" t="s">
        <v>64</v>
      </c>
      <c r="B20" t="s">
        <v>65</v>
      </c>
      <c r="D20" t="s">
        <v>18</v>
      </c>
      <c r="E20">
        <v>0.89</v>
      </c>
      <c r="F20">
        <v>0.15179999999999999</v>
      </c>
      <c r="G20">
        <v>0.12870000000000001</v>
      </c>
      <c r="H20">
        <v>8.6099999999999996E-2</v>
      </c>
      <c r="M20">
        <v>0.48</v>
      </c>
    </row>
    <row r="21" spans="1:13" x14ac:dyDescent="0.2">
      <c r="A21" t="s">
        <v>66</v>
      </c>
      <c r="B21" t="s">
        <v>67</v>
      </c>
      <c r="D21" t="s">
        <v>46</v>
      </c>
      <c r="E21">
        <v>1.1100000000000001</v>
      </c>
      <c r="F21">
        <v>0.2044</v>
      </c>
      <c r="G21">
        <v>0.21929999999999999</v>
      </c>
      <c r="H21">
        <v>0.1956</v>
      </c>
      <c r="M21">
        <v>6.02</v>
      </c>
    </row>
    <row r="22" spans="1:13" x14ac:dyDescent="0.2">
      <c r="A22" t="s">
        <v>68</v>
      </c>
      <c r="B22" t="s">
        <v>69</v>
      </c>
      <c r="D22" t="s">
        <v>70</v>
      </c>
      <c r="E22">
        <v>0.95</v>
      </c>
      <c r="F22">
        <v>0.18390000000000001</v>
      </c>
      <c r="G22">
        <v>0.2024</v>
      </c>
      <c r="H22">
        <v>0.1656</v>
      </c>
      <c r="M22">
        <v>3.13</v>
      </c>
    </row>
    <row r="23" spans="1:13" x14ac:dyDescent="0.2">
      <c r="A23" t="s">
        <v>71</v>
      </c>
      <c r="B23" t="s">
        <v>72</v>
      </c>
      <c r="D23" t="s">
        <v>92</v>
      </c>
      <c r="E23">
        <v>0.98</v>
      </c>
      <c r="F23">
        <v>0.3821</v>
      </c>
      <c r="G23">
        <v>0.14360000000000001</v>
      </c>
      <c r="H23">
        <v>0.12839999999999999</v>
      </c>
      <c r="M23">
        <v>2</v>
      </c>
    </row>
    <row r="24" spans="1:13" x14ac:dyDescent="0.2">
      <c r="A24" t="s">
        <v>73</v>
      </c>
      <c r="B24" t="s">
        <v>74</v>
      </c>
      <c r="D24" t="s">
        <v>55</v>
      </c>
      <c r="E24">
        <v>0.55000000000000004</v>
      </c>
      <c r="F24">
        <v>0.49659999999999999</v>
      </c>
      <c r="G24">
        <v>0.28160000000000002</v>
      </c>
      <c r="H24">
        <v>0.1406</v>
      </c>
    </row>
    <row r="25" spans="1:13" x14ac:dyDescent="0.2">
      <c r="A25" t="s">
        <v>75</v>
      </c>
      <c r="B25" t="s">
        <v>76</v>
      </c>
      <c r="D25" t="s">
        <v>55</v>
      </c>
      <c r="E25">
        <v>0.7</v>
      </c>
      <c r="F25">
        <v>0.57330000000000003</v>
      </c>
      <c r="G25">
        <v>0.31219999999999998</v>
      </c>
      <c r="H25">
        <v>0.16619999999999999</v>
      </c>
    </row>
    <row r="26" spans="1:13" x14ac:dyDescent="0.2">
      <c r="A26" t="s">
        <v>77</v>
      </c>
      <c r="B26" t="s">
        <v>78</v>
      </c>
      <c r="D26" t="s">
        <v>46</v>
      </c>
      <c r="E26">
        <v>0.75</v>
      </c>
      <c r="F26">
        <v>0.1216</v>
      </c>
      <c r="G26">
        <v>0.13170000000000001</v>
      </c>
      <c r="H26">
        <v>0.1096</v>
      </c>
    </row>
    <row r="27" spans="1:13" x14ac:dyDescent="0.2">
      <c r="A27" t="s">
        <v>79</v>
      </c>
      <c r="B27" t="s">
        <v>80</v>
      </c>
      <c r="D27" t="s">
        <v>21</v>
      </c>
      <c r="E27">
        <v>0.6</v>
      </c>
      <c r="F27">
        <v>0.1104</v>
      </c>
      <c r="G27">
        <v>0.22819999999999999</v>
      </c>
      <c r="M27">
        <v>0.17</v>
      </c>
    </row>
    <row r="28" spans="1:13" x14ac:dyDescent="0.2">
      <c r="A28" t="s">
        <v>81</v>
      </c>
      <c r="B28" t="s">
        <v>82</v>
      </c>
      <c r="D28" t="s">
        <v>83</v>
      </c>
      <c r="E28">
        <v>0.6</v>
      </c>
      <c r="F28">
        <v>0.52329999999999999</v>
      </c>
      <c r="G28">
        <v>0.152</v>
      </c>
      <c r="H28">
        <v>9.5299999999999996E-2</v>
      </c>
    </row>
    <row r="29" spans="1:13" x14ac:dyDescent="0.2">
      <c r="A29" t="s">
        <v>84</v>
      </c>
      <c r="B29" t="s">
        <v>85</v>
      </c>
      <c r="D29" t="s">
        <v>58</v>
      </c>
      <c r="E29">
        <v>0.75</v>
      </c>
      <c r="F29">
        <v>0.33489999999999998</v>
      </c>
      <c r="G29">
        <v>0.15920000000000001</v>
      </c>
      <c r="H29">
        <v>9.9099999999999994E-2</v>
      </c>
    </row>
    <row r="30" spans="1:13" x14ac:dyDescent="0.2">
      <c r="A30" t="s">
        <v>86</v>
      </c>
      <c r="B30" t="s">
        <v>87</v>
      </c>
      <c r="D30" t="s">
        <v>35</v>
      </c>
      <c r="E30">
        <v>0.8</v>
      </c>
      <c r="F30">
        <v>0.1159</v>
      </c>
      <c r="G30">
        <v>0.1366</v>
      </c>
      <c r="H30">
        <v>3.4000000000000002E-2</v>
      </c>
    </row>
    <row r="31" spans="1:13" x14ac:dyDescent="0.2">
      <c r="A31" t="s">
        <v>88</v>
      </c>
      <c r="B31" t="s">
        <v>89</v>
      </c>
      <c r="D31" t="s">
        <v>35</v>
      </c>
      <c r="E31">
        <v>0.8</v>
      </c>
      <c r="F31">
        <v>-1.6400000000000001E-2</v>
      </c>
      <c r="G31">
        <v>5.6800000000000003E-2</v>
      </c>
      <c r="H31">
        <v>6.0900000000000003E-2</v>
      </c>
    </row>
    <row r="32" spans="1:13" x14ac:dyDescent="0.2">
      <c r="A32" t="s">
        <v>90</v>
      </c>
      <c r="B32" t="s">
        <v>91</v>
      </c>
      <c r="D32" t="s">
        <v>58</v>
      </c>
      <c r="E32">
        <v>0.6</v>
      </c>
      <c r="F32">
        <v>0.30740000000000001</v>
      </c>
      <c r="G32">
        <v>0.16819999999999999</v>
      </c>
      <c r="H32">
        <v>0.1086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Impellizeri</dc:creator>
  <cp:lastModifiedBy>Joseph Impellizeri</cp:lastModifiedBy>
  <dcterms:created xsi:type="dcterms:W3CDTF">2026-07-28T16:58:22Z</dcterms:created>
  <dcterms:modified xsi:type="dcterms:W3CDTF">2026-08-11T18:25:40Z</dcterms:modified>
</cp:coreProperties>
</file>